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jschipper\OneDrive - HSO\HSO\Performance\SQL\HSO-KIT-20160101\HSO Pack Solution - v20 - maint\"/>
    </mc:Choice>
  </mc:AlternateContent>
  <xr:revisionPtr revIDLastSave="34" documentId="40E76B33E1CDCA84F41F6DCD45478E935C7C5BD6" xr6:coauthVersionLast="28" xr6:coauthVersionMax="28" xr10:uidLastSave="{CDF34666-8B73-4FA9-ACE8-5554547CF0F2}"/>
  <bookViews>
    <workbookView xWindow="0" yWindow="0" windowWidth="28800" windowHeight="11985" tabRatio="889" xr2:uid="{00000000-000D-0000-FFFF-FFFF00000000}"/>
  </bookViews>
  <sheets>
    <sheet name="FILTER" sheetId="2" r:id="rId1"/>
    <sheet name="SUMMARY" sheetId="13" r:id="rId2"/>
    <sheet name="SOURCE" sheetId="11" r:id="rId3"/>
    <sheet name="AGGRESSIVE" sheetId="12" r:id="rId4"/>
    <sheet name="DUPLICATE KEYS" sheetId="3" r:id="rId5"/>
    <sheet name="HEAPS" sheetId="5" r:id="rId6"/>
    <sheet name="SMALL ACTIVE HEAPS" sheetId="4" r:id="rId7"/>
    <sheet name="HEAP-NC-PK" sheetId="14" r:id="rId8"/>
    <sheet name="SCAN A LOTS" sheetId="6" r:id="rId9"/>
    <sheet name="TOP RECENT ACCESSES" sheetId="7" r:id="rId10"/>
    <sheet name="MISSING INDEXES" sheetId="8" r:id="rId11"/>
    <sheet name="MANY NC INDEXES" sheetId="9" r:id="rId12"/>
    <sheet name="UNUSED INDEXES" sheetId="10" r:id="rId13"/>
  </sheets>
  <functionGroups builtInGroupCount="19"/>
  <definedNames>
    <definedName name="_xlnm._FilterDatabase" localSheetId="4" hidden="1">'DUPLICATE KEYS'!#REF!</definedName>
    <definedName name="_xlnm._FilterDatabase" localSheetId="2" hidden="1">SOURCE!$A$1:$K$15551</definedName>
    <definedName name="_xlnm.Extract" localSheetId="4">'DUPLICATE KEYS'!$A$1:$E$1</definedName>
    <definedName name="_xlnm.Extract" localSheetId="5">HEAPS!$A$1:$D$1</definedName>
    <definedName name="_xlnm.Extract" localSheetId="8">'SCAN A LOTS'!$A$1:$D$1</definedName>
    <definedName name="_xlnm.Extract" localSheetId="6">'SMALL ACTIVE HEAPS'!$A$1:$D$1</definedName>
    <definedName name="_xlnm.Extract" localSheetId="9">'TOP RECENT ACCESSES'!$A$1:$D$1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3" l="1"/>
  <c r="B9" i="13" l="1"/>
  <c r="B8" i="13"/>
  <c r="B7" i="13"/>
  <c r="B5" i="13"/>
  <c r="B4" i="13"/>
  <c r="B3" i="13"/>
  <c r="B2" i="13"/>
</calcChain>
</file>

<file path=xl/sharedStrings.xml><?xml version="1.0" encoding="utf-8"?>
<sst xmlns="http://schemas.openxmlformats.org/spreadsheetml/2006/main" count="92" uniqueCount="34">
  <si>
    <t>Finding</t>
  </si>
  <si>
    <t>Details: schema.table.index(indexid)</t>
  </si>
  <si>
    <t>Definition: [Property] ColumnName {datatype maxbytes}</t>
  </si>
  <si>
    <t>Usage</t>
  </si>
  <si>
    <t>Size</t>
  </si>
  <si>
    <t>More Info</t>
  </si>
  <si>
    <t>Create TSQL</t>
  </si>
  <si>
    <t>http://BrentOzar.com/go/duplicateindex</t>
  </si>
  <si>
    <t>Index Hoarder: Many NC indexes on a single table</t>
  </si>
  <si>
    <t>http://BrentOzar.com/go/IndexHoarder</t>
  </si>
  <si>
    <t>Index Hoarder: Unused NC index</t>
  </si>
  <si>
    <t>http://BrentOzar.com/go/SelfLoathing</t>
  </si>
  <si>
    <t>Self Loathing Indexes: Heaps with forwarded records or deletes</t>
  </si>
  <si>
    <t>Workaholics: Scan-a-lots (index_usage_stats)</t>
  </si>
  <si>
    <t>http://BrentOzar.com/go/Workaholics</t>
  </si>
  <si>
    <t>Workaholics: Top recent accesses (index_op_stats)</t>
  </si>
  <si>
    <t>Multiple Index Personalities: Duplicate keys</t>
  </si>
  <si>
    <t>More info</t>
  </si>
  <si>
    <t>http://BrentOzar.com/go/Indexaphobia</t>
  </si>
  <si>
    <t>Aggressive Indexes: Total lock wait time &gt; 5 minutes (row + page)</t>
  </si>
  <si>
    <t>http://BrentOzar.com/go/AggressiveIndexes</t>
  </si>
  <si>
    <t>FINDING</t>
  </si>
  <si>
    <t>COUNT</t>
  </si>
  <si>
    <t>BLOCKING ISSUES</t>
  </si>
  <si>
    <t>DUPLICATE KEYS</t>
  </si>
  <si>
    <t>HEAPS</t>
  </si>
  <si>
    <t>MISSING INDEXES</t>
  </si>
  <si>
    <t>MANY NC INDEXES</t>
  </si>
  <si>
    <t>UNUSED INDEXES</t>
  </si>
  <si>
    <t>Self Loathing Indexes: Small Active heap</t>
  </si>
  <si>
    <t>Self Loathing Indexes: Heap with a Nonclustered Primary Key</t>
  </si>
  <si>
    <t>SMALL ACTIVE HEAPS</t>
  </si>
  <si>
    <t>HEAPS WITH-NC-BUT NO PK</t>
  </si>
  <si>
    <t>Indexaphobia: High value missing index with High Impact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</si>
</sst>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3" borderId="1" xfId="0" applyFont="1" applyFill="1" applyBorder="1"/>
    <xf numFmtId="0" fontId="2" fillId="3" borderId="2" xfId="1" applyFill="1" applyBorder="1"/>
    <xf numFmtId="0" fontId="2" fillId="0" borderId="0" xfId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</cellXfs>
  <cellStyles count="2">
    <cellStyle name="Hyperlink" xfId="1" builtinId="8"/>
    <cellStyle name="Normal" xfId="0" builtinId="0"/>
  </cellStyles>
  <dxfs count="32"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8</xdr:row>
      <xdr:rowOff>180975</xdr:rowOff>
    </xdr:from>
    <xdr:to>
      <xdr:col>9</xdr:col>
      <xdr:colOff>9525</xdr:colOff>
      <xdr:row>13</xdr:row>
      <xdr:rowOff>180975</xdr:rowOff>
    </xdr:to>
    <xdr:sp macro="[0]!mainSub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24775" y="1704975"/>
          <a:ext cx="3048000" cy="9525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Filter</a:t>
          </a:r>
          <a:r>
            <a:rPr lang="nl-NL" sz="2000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the data</a:t>
          </a:r>
          <a:endParaRPr lang="nl-NL" sz="20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7:B8" totalsRowShown="0">
  <tableColumns count="2">
    <tableColumn id="1" xr3:uid="{00000000-0010-0000-0000-000001000000}" name="Finding"/>
    <tableColumn id="2" xr3:uid="{00000000-0010-0000-0000-000002000000}" name="More Info" dataDxfId="31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6:B17" totalsRowShown="0" headerRowBorderDxfId="30" tableBorderDxfId="29" totalsRowBorderDxfId="28">
  <tableColumns count="2">
    <tableColumn id="1" xr3:uid="{00000000-0010-0000-0100-000001000000}" name="Finding" dataDxfId="27"/>
    <tableColumn id="2" xr3:uid="{00000000-0010-0000-0100-000002000000}" name="More info" dataDxfId="26" dataCellStyle="Hyperlin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3" displayName="Table13" ref="A19:B20" totalsRowShown="0" headerRowBorderDxfId="25" tableBorderDxfId="24" totalsRowBorderDxfId="23">
  <tableColumns count="2">
    <tableColumn id="1" xr3:uid="{00000000-0010-0000-0200-000001000000}" name="Finding" dataDxfId="22"/>
    <tableColumn id="2" xr3:uid="{00000000-0010-0000-0200-000002000000}" name="More info" dataDxfId="21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5" displayName="Table15" ref="A22:B23" totalsRowShown="0" headerRowBorderDxfId="20" tableBorderDxfId="19" totalsRowBorderDxfId="18">
  <tableColumns count="2">
    <tableColumn id="1" xr3:uid="{00000000-0010-0000-0300-000001000000}" name="Finding" dataDxfId="17"/>
    <tableColumn id="2" xr3:uid="{00000000-0010-0000-0300-000002000000}" name="More info" dataDxfId="16" dataCellStyle="Hyperlink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158" displayName="Table158" ref="A25:B26" totalsRowShown="0" headerRowBorderDxfId="15" tableBorderDxfId="14" totalsRowBorderDxfId="13">
  <tableColumns count="2">
    <tableColumn id="1" xr3:uid="{00000000-0010-0000-0400-000001000000}" name="Finding" dataDxfId="12"/>
    <tableColumn id="2" xr3:uid="{00000000-0010-0000-0400-000002000000}" name="More info" dataDxfId="11" dataCellStyle="Hyperlink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68A31CC-FCF2-4204-9AD0-4420001489BB}" name="Table1588" displayName="Table1588" ref="A28:B29" totalsRowShown="0" headerRowBorderDxfId="10" tableBorderDxfId="9" totalsRowBorderDxfId="8">
  <tableColumns count="2">
    <tableColumn id="1" xr3:uid="{7C0D80F8-10DA-4519-9CD7-1586DBE08F62}" name="Finding" dataDxfId="7"/>
    <tableColumn id="2" xr3:uid="{4A7B15A0-930B-47E1-84E2-087851C40B87}" name="More info" dataDxfId="6" dataCellStyle="Hyperlink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A1:B9" totalsRowShown="0" headerRowDxfId="5" headerRowBorderDxfId="4" tableBorderDxfId="3" totalsRowBorderDxfId="2">
  <autoFilter ref="A1:B9" xr:uid="{00000000-0009-0000-0100-000006000000}"/>
  <tableColumns count="2">
    <tableColumn id="1" xr3:uid="{00000000-0010-0000-0500-000001000000}" name="FINDING" dataDxfId="1"/>
    <tableColumn id="2" xr3:uid="{00000000-0010-0000-0500-000002000000}" name="C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brentozar.com/go/IndexHoarder" TargetMode="External"/><Relationship Id="rId13" Type="http://schemas.openxmlformats.org/officeDocument/2006/relationships/table" Target="../tables/table2.xml"/><Relationship Id="rId3" Type="http://schemas.openxmlformats.org/officeDocument/2006/relationships/hyperlink" Target="http://brentozar.com/go/SelfLoathing" TargetMode="External"/><Relationship Id="rId7" Type="http://schemas.openxmlformats.org/officeDocument/2006/relationships/hyperlink" Target="http://brentozar.com/go/IndexHoarder" TargetMode="External"/><Relationship Id="rId12" Type="http://schemas.openxmlformats.org/officeDocument/2006/relationships/table" Target="../tables/table1.xml"/><Relationship Id="rId17" Type="http://schemas.openxmlformats.org/officeDocument/2006/relationships/table" Target="../tables/table6.xml"/><Relationship Id="rId2" Type="http://schemas.openxmlformats.org/officeDocument/2006/relationships/hyperlink" Target="http://brentozar.com/go/duplicateindex" TargetMode="External"/><Relationship Id="rId16" Type="http://schemas.openxmlformats.org/officeDocument/2006/relationships/table" Target="../tables/table5.xml"/><Relationship Id="rId1" Type="http://schemas.openxmlformats.org/officeDocument/2006/relationships/hyperlink" Target="http://brentozar.com/go/SelfLoathing" TargetMode="External"/><Relationship Id="rId6" Type="http://schemas.openxmlformats.org/officeDocument/2006/relationships/hyperlink" Target="http://brentozar.com/go/Indexaphobia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://brentozar.com/go/Workaholics" TargetMode="External"/><Relationship Id="rId15" Type="http://schemas.openxmlformats.org/officeDocument/2006/relationships/table" Target="../tables/table4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://brentozar.com/go/Workaholics" TargetMode="External"/><Relationship Id="rId9" Type="http://schemas.openxmlformats.org/officeDocument/2006/relationships/hyperlink" Target="http://brentozar.com/go/AggressiveIndexes" TargetMode="External"/><Relationship Id="rId1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29"/>
  <sheetViews>
    <sheetView tabSelected="1" workbookViewId="0"/>
  </sheetViews>
  <sheetFormatPr defaultRowHeight="15" x14ac:dyDescent="0.25"/>
  <cols>
    <col min="1" max="1" width="60" bestFit="1" customWidth="1"/>
    <col min="2" max="2" width="41.5703125" bestFit="1" customWidth="1"/>
  </cols>
  <sheetData>
    <row r="1" spans="1:2" x14ac:dyDescent="0.25">
      <c r="A1" s="1" t="s">
        <v>0</v>
      </c>
      <c r="B1" s="2" t="s">
        <v>17</v>
      </c>
    </row>
    <row r="2" spans="1:2" x14ac:dyDescent="0.25">
      <c r="A2" s="3" t="s">
        <v>16</v>
      </c>
      <c r="B2" s="4" t="s">
        <v>7</v>
      </c>
    </row>
    <row r="4" spans="1:2" x14ac:dyDescent="0.25">
      <c r="A4" s="1" t="s">
        <v>0</v>
      </c>
      <c r="B4" s="2" t="s">
        <v>17</v>
      </c>
    </row>
    <row r="5" spans="1:2" x14ac:dyDescent="0.25">
      <c r="A5" s="3" t="s">
        <v>12</v>
      </c>
      <c r="B5" s="4" t="s">
        <v>11</v>
      </c>
    </row>
    <row r="7" spans="1:2" x14ac:dyDescent="0.25">
      <c r="A7" t="s">
        <v>0</v>
      </c>
      <c r="B7" t="s">
        <v>5</v>
      </c>
    </row>
    <row r="8" spans="1:2" x14ac:dyDescent="0.25">
      <c r="A8" t="s">
        <v>29</v>
      </c>
      <c r="B8" s="4" t="s">
        <v>11</v>
      </c>
    </row>
    <row r="10" spans="1:2" x14ac:dyDescent="0.25">
      <c r="A10" s="1" t="s">
        <v>0</v>
      </c>
      <c r="B10" s="2" t="s">
        <v>17</v>
      </c>
    </row>
    <row r="11" spans="1:2" x14ac:dyDescent="0.25">
      <c r="A11" s="3" t="s">
        <v>13</v>
      </c>
      <c r="B11" s="4" t="s">
        <v>14</v>
      </c>
    </row>
    <row r="13" spans="1:2" x14ac:dyDescent="0.25">
      <c r="A13" s="1" t="s">
        <v>0</v>
      </c>
      <c r="B13" s="2" t="s">
        <v>17</v>
      </c>
    </row>
    <row r="14" spans="1:2" x14ac:dyDescent="0.25">
      <c r="A14" s="3" t="s">
        <v>15</v>
      </c>
      <c r="B14" s="4" t="s">
        <v>14</v>
      </c>
    </row>
    <row r="16" spans="1:2" x14ac:dyDescent="0.25">
      <c r="A16" t="s">
        <v>0</v>
      </c>
      <c r="B16" t="s">
        <v>17</v>
      </c>
    </row>
    <row r="17" spans="1:2" x14ac:dyDescent="0.25">
      <c r="A17" t="s">
        <v>33</v>
      </c>
      <c r="B17" s="4" t="s">
        <v>18</v>
      </c>
    </row>
    <row r="19" spans="1:2" x14ac:dyDescent="0.25">
      <c r="A19" t="s">
        <v>0</v>
      </c>
      <c r="B19" t="s">
        <v>17</v>
      </c>
    </row>
    <row r="20" spans="1:2" x14ac:dyDescent="0.25">
      <c r="A20" t="s">
        <v>8</v>
      </c>
      <c r="B20" s="4" t="s">
        <v>9</v>
      </c>
    </row>
    <row r="22" spans="1:2" x14ac:dyDescent="0.25">
      <c r="A22" t="s">
        <v>0</v>
      </c>
      <c r="B22" t="s">
        <v>17</v>
      </c>
    </row>
    <row r="23" spans="1:2" x14ac:dyDescent="0.25">
      <c r="A23" t="s">
        <v>10</v>
      </c>
      <c r="B23" s="4" t="s">
        <v>9</v>
      </c>
    </row>
    <row r="25" spans="1:2" x14ac:dyDescent="0.25">
      <c r="A25" t="s">
        <v>0</v>
      </c>
      <c r="B25" t="s">
        <v>17</v>
      </c>
    </row>
    <row r="26" spans="1:2" x14ac:dyDescent="0.25">
      <c r="A26" t="s">
        <v>19</v>
      </c>
      <c r="B26" s="5" t="s">
        <v>20</v>
      </c>
    </row>
    <row r="28" spans="1:2" x14ac:dyDescent="0.25">
      <c r="A28" t="s">
        <v>0</v>
      </c>
      <c r="B28" t="s">
        <v>17</v>
      </c>
    </row>
    <row r="29" spans="1:2" x14ac:dyDescent="0.25">
      <c r="A29" t="s">
        <v>30</v>
      </c>
      <c r="B29" s="5" t="s">
        <v>11</v>
      </c>
    </row>
  </sheetData>
  <hyperlinks>
    <hyperlink ref="B8" r:id="rId1" xr:uid="{00000000-0004-0000-0000-000000000000}"/>
    <hyperlink ref="B2" r:id="rId2" xr:uid="{00000000-0004-0000-0000-000001000000}"/>
    <hyperlink ref="B5" r:id="rId3" xr:uid="{00000000-0004-0000-0000-000002000000}"/>
    <hyperlink ref="B11" r:id="rId4" xr:uid="{00000000-0004-0000-0000-000003000000}"/>
    <hyperlink ref="B14" r:id="rId5" xr:uid="{00000000-0004-0000-0000-000004000000}"/>
    <hyperlink ref="B17" r:id="rId6" xr:uid="{00000000-0004-0000-0000-000005000000}"/>
    <hyperlink ref="B20" r:id="rId7" xr:uid="{00000000-0004-0000-0000-000006000000}"/>
    <hyperlink ref="B23" r:id="rId8" xr:uid="{00000000-0004-0000-0000-000007000000}"/>
    <hyperlink ref="B26" r:id="rId9" xr:uid="{00000000-0004-0000-0000-000008000000}"/>
  </hyperlinks>
  <pageMargins left="0.7" right="0.7" top="0.75" bottom="0.75" header="0.3" footer="0.3"/>
  <pageSetup paperSize="9" orientation="portrait" horizontalDpi="200" verticalDpi="200" r:id="rId10"/>
  <drawing r:id="rId11"/>
  <tableParts count="6">
    <tablePart r:id="rId12"/>
    <tablePart r:id="rId13"/>
    <tablePart r:id="rId14"/>
    <tablePart r:id="rId15"/>
    <tablePart r:id="rId16"/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B9"/>
  <sheetViews>
    <sheetView workbookViewId="0">
      <selection activeCell="A9" sqref="A9"/>
    </sheetView>
  </sheetViews>
  <sheetFormatPr defaultRowHeight="15" x14ac:dyDescent="0.25"/>
  <cols>
    <col min="1" max="1" width="25.85546875" bestFit="1" customWidth="1"/>
    <col min="2" max="2" width="9.7109375" bestFit="1" customWidth="1"/>
  </cols>
  <sheetData>
    <row r="1" spans="1:2" x14ac:dyDescent="0.25">
      <c r="A1" s="6" t="s">
        <v>21</v>
      </c>
      <c r="B1" s="7" t="s">
        <v>22</v>
      </c>
    </row>
    <row r="2" spans="1:2" x14ac:dyDescent="0.25">
      <c r="A2" s="8" t="s">
        <v>23</v>
      </c>
      <c r="B2" s="9">
        <f>COUNTA(AGGRESSIVE!A:A)-1</f>
        <v>0</v>
      </c>
    </row>
    <row r="3" spans="1:2" x14ac:dyDescent="0.25">
      <c r="A3" s="8" t="s">
        <v>24</v>
      </c>
      <c r="B3" s="9">
        <f>COUNTA('DUPLICATE KEYS'!A:A)-1</f>
        <v>0</v>
      </c>
    </row>
    <row r="4" spans="1:2" x14ac:dyDescent="0.25">
      <c r="A4" s="8" t="s">
        <v>25</v>
      </c>
      <c r="B4" s="9">
        <f>COUNTA(HEAPS!A:A)-1</f>
        <v>0</v>
      </c>
    </row>
    <row r="5" spans="1:2" x14ac:dyDescent="0.25">
      <c r="A5" s="8" t="s">
        <v>31</v>
      </c>
      <c r="B5" s="9">
        <f>COUNTA('SMALL ACTIVE HEAPS'!A:A)-1</f>
        <v>0</v>
      </c>
    </row>
    <row r="6" spans="1:2" x14ac:dyDescent="0.25">
      <c r="A6" s="8" t="s">
        <v>32</v>
      </c>
      <c r="B6" s="9">
        <f>COUNTA('HEAP-NC-PK'!A:A)-1</f>
        <v>0</v>
      </c>
    </row>
    <row r="7" spans="1:2" x14ac:dyDescent="0.25">
      <c r="A7" s="8" t="s">
        <v>26</v>
      </c>
      <c r="B7" s="9">
        <f>COUNTA('MISSING INDEXES'!A:A)-1</f>
        <v>0</v>
      </c>
    </row>
    <row r="8" spans="1:2" x14ac:dyDescent="0.25">
      <c r="A8" s="8" t="s">
        <v>27</v>
      </c>
      <c r="B8" s="9">
        <f>COUNTA('MANY NC INDEXES'!A:A)-1</f>
        <v>0</v>
      </c>
    </row>
    <row r="9" spans="1:2" x14ac:dyDescent="0.25">
      <c r="A9" s="10" t="s">
        <v>28</v>
      </c>
      <c r="B9" s="9">
        <f>COUNTA('UNUSED INDEXES'!A:A)-1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workbookViewId="0">
      <selection activeCell="C16" sqref="C16"/>
    </sheetView>
  </sheetViews>
  <sheetFormatPr defaultColWidth="15.7109375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D1"/>
  <sheetViews>
    <sheetView workbookViewId="0"/>
  </sheetViews>
  <sheetFormatPr defaultRowHeight="15" x14ac:dyDescent="0.25"/>
  <cols>
    <col min="1" max="1" width="7.5703125" bestFit="1" customWidth="1"/>
    <col min="2" max="2" width="34.5703125" bestFit="1" customWidth="1"/>
    <col min="3" max="3" width="6.28515625" bestFit="1" customWidth="1"/>
    <col min="4" max="4" width="4.5703125" bestFit="1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1"/>
  <sheetViews>
    <sheetView workbookViewId="0"/>
  </sheetViews>
  <sheetFormatPr defaultRowHeight="15" x14ac:dyDescent="0.25"/>
  <cols>
    <col min="1" max="1" width="7.5703125" bestFit="1" customWidth="1"/>
    <col min="2" max="2" width="34.5703125" bestFit="1" customWidth="1"/>
    <col min="3" max="3" width="52.85546875" bestFit="1" customWidth="1"/>
    <col min="4" max="4" width="6.28515625" bestFit="1" customWidth="1"/>
    <col min="5" max="5" width="4.5703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1"/>
  <sheetViews>
    <sheetView workbookViewId="0"/>
  </sheetViews>
  <sheetFormatPr defaultRowHeight="15" x14ac:dyDescent="0.25"/>
  <cols>
    <col min="1" max="1" width="7.5703125" bestFit="1" customWidth="1"/>
    <col min="2" max="2" width="34.5703125" bestFit="1" customWidth="1"/>
    <col min="3" max="3" width="6.28515625" bestFit="1" customWidth="1"/>
    <col min="4" max="4" width="4.5703125" bestFit="1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D1"/>
  <sheetViews>
    <sheetView workbookViewId="0"/>
  </sheetViews>
  <sheetFormatPr defaultRowHeight="15" x14ac:dyDescent="0.25"/>
  <cols>
    <col min="1" max="1" width="7.5703125" bestFit="1" customWidth="1"/>
    <col min="2" max="2" width="34.5703125" bestFit="1" customWidth="1"/>
    <col min="3" max="3" width="6.28515625" bestFit="1" customWidth="1"/>
    <col min="4" max="4" width="4.5703125" bestFit="1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73DEB-861E-4910-BB5F-B33A0EBEE3A8}">
  <sheetPr codeName="Sheet13"/>
  <dimension ref="A1:D1"/>
  <sheetViews>
    <sheetView workbookViewId="0"/>
  </sheetViews>
  <sheetFormatPr defaultRowHeight="15" x14ac:dyDescent="0.25"/>
  <cols>
    <col min="1" max="1" width="7.5703125" bestFit="1" customWidth="1"/>
    <col min="2" max="2" width="34.5703125" bestFit="1" customWidth="1"/>
    <col min="3" max="3" width="6.28515625" bestFit="1" customWidth="1"/>
    <col min="4" max="4" width="4.5703125" bestFit="1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D1"/>
  <sheetViews>
    <sheetView workbookViewId="0"/>
  </sheetViews>
  <sheetFormatPr defaultRowHeight="15" x14ac:dyDescent="0.25"/>
  <cols>
    <col min="1" max="1" width="7.5703125" bestFit="1" customWidth="1"/>
    <col min="2" max="2" width="34.5703125" bestFit="1" customWidth="1"/>
    <col min="3" max="3" width="6.28515625" bestFit="1" customWidth="1"/>
    <col min="4" max="4" width="4.5703125" bestFit="1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D1"/>
  <sheetViews>
    <sheetView workbookViewId="0"/>
  </sheetViews>
  <sheetFormatPr defaultRowHeight="15" x14ac:dyDescent="0.25"/>
  <cols>
    <col min="1" max="1" width="7.5703125" bestFit="1" customWidth="1"/>
    <col min="2" max="2" width="34.5703125" bestFit="1" customWidth="1"/>
    <col min="3" max="3" width="6.28515625" bestFit="1" customWidth="1"/>
    <col min="4" max="4" width="4.5703125" bestFit="1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E1"/>
  <sheetViews>
    <sheetView workbookViewId="0"/>
  </sheetViews>
  <sheetFormatPr defaultRowHeight="15" x14ac:dyDescent="0.25"/>
  <cols>
    <col min="1" max="1" width="7.5703125" bestFit="1" customWidth="1"/>
    <col min="2" max="2" width="34.5703125" bestFit="1" customWidth="1"/>
    <col min="3" max="3" width="6.28515625" bestFit="1" customWidth="1"/>
    <col min="4" max="4" width="4.5703125" bestFit="1" customWidth="1"/>
    <col min="5" max="5" width="11.5703125" bestFit="1" customWidth="1"/>
  </cols>
  <sheetData>
    <row r="1" spans="1:5" x14ac:dyDescent="0.25">
      <c r="A1" t="s">
        <v>0</v>
      </c>
      <c r="B1" t="s">
        <v>1</v>
      </c>
      <c r="C1" t="s">
        <v>3</v>
      </c>
      <c r="D1" t="s">
        <v>4</v>
      </c>
      <c r="E1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D1"/>
  <sheetViews>
    <sheetView workbookViewId="0"/>
  </sheetViews>
  <sheetFormatPr defaultRowHeight="15" x14ac:dyDescent="0.25"/>
  <cols>
    <col min="1" max="1" width="7.5703125" bestFit="1" customWidth="1"/>
    <col min="2" max="2" width="34.5703125" bestFit="1" customWidth="1"/>
    <col min="3" max="3" width="6.28515625" bestFit="1" customWidth="1"/>
    <col min="4" max="4" width="4.5703125" bestFit="1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D1"/>
  <sheetViews>
    <sheetView workbookViewId="0"/>
  </sheetViews>
  <sheetFormatPr defaultRowHeight="15" x14ac:dyDescent="0.25"/>
  <cols>
    <col min="1" max="1" width="7.5703125" bestFit="1" customWidth="1"/>
    <col min="2" max="2" width="34.5703125" bestFit="1" customWidth="1"/>
    <col min="3" max="3" width="6.28515625" bestFit="1" customWidth="1"/>
    <col min="4" max="4" width="4.5703125" bestFit="1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FILTER</vt:lpstr>
      <vt:lpstr>SUMMARY</vt:lpstr>
      <vt:lpstr>SOURCE</vt:lpstr>
      <vt:lpstr>AGGRESSIVE</vt:lpstr>
      <vt:lpstr>DUPLICATE KEYS</vt:lpstr>
      <vt:lpstr>HEAPS</vt:lpstr>
      <vt:lpstr>SMALL ACTIVE HEAPS</vt:lpstr>
      <vt:lpstr>HEAP-NC-PK</vt:lpstr>
      <vt:lpstr>SCAN A LOTS</vt:lpstr>
      <vt:lpstr>TOP RECENT ACCESSES</vt:lpstr>
      <vt:lpstr>MISSING INDEXES</vt:lpstr>
      <vt:lpstr>MANY NC INDEXES</vt:lpstr>
      <vt:lpstr>UNUSED INDEXES</vt:lpstr>
      <vt:lpstr>'DUPLICATE KEYS'!Extract</vt:lpstr>
      <vt:lpstr>HEAPS!Extract</vt:lpstr>
      <vt:lpstr>'SCAN A LOTS'!Extract</vt:lpstr>
      <vt:lpstr>'SMALL ACTIVE HEAPS'!Extract</vt:lpstr>
      <vt:lpstr>'TOP RECENT ACCESSES'!Extract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Gert Jan Schipper</dc:creator>
  <cp:lastModifiedBy>Gert Jan Schipper</cp:lastModifiedBy>
  <dcterms:created xsi:type="dcterms:W3CDTF">2016-03-07T09:01:14Z</dcterms:created>
  <dcterms:modified xsi:type="dcterms:W3CDTF">2018-03-05T15:43:29Z</dcterms:modified>
</cp:coreProperties>
</file>